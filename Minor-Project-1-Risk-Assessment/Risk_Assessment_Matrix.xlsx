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Matrix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<sst xmlns="http://schemas.openxmlformats.org/spreadsheetml/2006/main" count="62" uniqueCount="56">
  <si>
    <t xml:space="preserve">Cybersecurity Risk Assessment Matrix — SME Environment</t>
  </si>
  <si>
    <t xml:space="preserve">Risk ID</t>
  </si>
  <si>
    <t xml:space="preserve">Threat / Risk</t>
  </si>
  <si>
    <t xml:space="preserve">NIST Function</t>
  </si>
  <si>
    <t xml:space="preserve">Likelihood (1-5)</t>
  </si>
  <si>
    <t xml:space="preserve">Impact (1-5)</t>
  </si>
  <si>
    <t xml:space="preserve">Risk Score</t>
  </si>
  <si>
    <t xml:space="preserve">Risk Level</t>
  </si>
  <si>
    <t xml:space="preserve">Recommended Mitigation</t>
  </si>
  <si>
    <t xml:space="preserve">R01</t>
  </si>
  <si>
    <t xml:space="preserve">Phishing emails targeting employees</t>
  </si>
  <si>
    <t xml:space="preserve">Protect</t>
  </si>
  <si>
    <t xml:space="preserve">Deploy email filtering (SPF/DKIM/DMARC), run quarterly phishing-awareness training, enforce MFA on email accounts</t>
  </si>
  <si>
    <t xml:space="preserve">R02</t>
  </si>
  <si>
    <t xml:space="preserve">Ransomware infection via malicious attachments</t>
  </si>
  <si>
    <t xml:space="preserve">Endpoint protection (EDR), offline/immutable backups, application whitelisting, patch management</t>
  </si>
  <si>
    <t xml:space="preserve">R03</t>
  </si>
  <si>
    <t xml:space="preserve">Insider threat (malicious or negligent employee)</t>
  </si>
  <si>
    <t xml:space="preserve">Detect</t>
  </si>
  <si>
    <t xml:space="preserve">Role-based access control, activity logging &amp; monitoring, least-privilege policy, exit-process checklist</t>
  </si>
  <si>
    <t xml:space="preserve">R04</t>
  </si>
  <si>
    <t xml:space="preserve">Weak or reused passwords</t>
  </si>
  <si>
    <t xml:space="preserve">Enforce password policy + MFA, deploy a password manager, block breached-password reuse</t>
  </si>
  <si>
    <t xml:space="preserve">R05</t>
  </si>
  <si>
    <t xml:space="preserve">Unpatched software / OS vulnerabilities</t>
  </si>
  <si>
    <t xml:space="preserve">Identify</t>
  </si>
  <si>
    <t xml:space="preserve">Automated patch management, vulnerability scanning every quarter, asset inventory</t>
  </si>
  <si>
    <t xml:space="preserve">R06</t>
  </si>
  <si>
    <t xml:space="preserve">Unsecured Wi-Fi / remote access (VPN gaps)</t>
  </si>
  <si>
    <t xml:space="preserve">WPA3 encryption, dedicated guest network, VPN with MFA for remote workers</t>
  </si>
  <si>
    <t xml:space="preserve">R07</t>
  </si>
  <si>
    <t xml:space="preserve">Data loss due to no/incomplete backups</t>
  </si>
  <si>
    <t xml:space="preserve">Recover</t>
  </si>
  <si>
    <t xml:space="preserve">3-2-1 backup strategy, automated backup verification, documented recovery runbook</t>
  </si>
  <si>
    <t xml:space="preserve">R08</t>
  </si>
  <si>
    <t xml:space="preserve">Third-party / vendor security gaps</t>
  </si>
  <si>
    <t xml:space="preserve">Vendor risk assessment checklist, contractual security clauses, limited third-party access</t>
  </si>
  <si>
    <t xml:space="preserve">R09</t>
  </si>
  <si>
    <t xml:space="preserve">Lack of incident response plan</t>
  </si>
  <si>
    <t xml:space="preserve">Respond</t>
  </si>
  <si>
    <t xml:space="preserve">Create and rehearse an incident response plan, designate an incident response lead</t>
  </si>
  <si>
    <t xml:space="preserve">R10</t>
  </si>
  <si>
    <t xml:space="preserve">Physical security lapses (unattended devices)</t>
  </si>
  <si>
    <t xml:space="preserve">Device auto-lock policy, disk encryption, clean-desk policy, visitor logs</t>
  </si>
  <si>
    <t xml:space="preserve">Risk Level Legend:</t>
  </si>
  <si>
    <t xml:space="preserve">High (score 15-25)</t>
  </si>
  <si>
    <t xml:space="preserve">Medium (score 8-14)</t>
  </si>
  <si>
    <t xml:space="preserve">Low (score 1-7)</t>
  </si>
  <si>
    <t xml:space="preserve">Note: Risk Score = Likelihood x Impact (each rated 1-5). Formulas auto-recalculate if ratings change.</t>
  </si>
  <si>
    <t xml:space="preserve">Risk Summary Dashboard</t>
  </si>
  <si>
    <t xml:space="preserve">Count</t>
  </si>
  <si>
    <t xml:space="preserve">High</t>
  </si>
  <si>
    <t xml:space="preserve">Medium</t>
  </si>
  <si>
    <t xml:space="preserve">Low</t>
  </si>
  <si>
    <t xml:space="preserve">Total Risks Assessed</t>
  </si>
  <si>
    <t xml:space="preserve">Insert a pie/bar chart in Excel/LibreOffice using this table for the report/PPT visual.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</si>
</sst>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F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4374"/>
        <bgColor rgb="FF003366"/>
      </patternFill>
    </fill>
    <fill>
      <patternFill patternType="solid">
        <fgColor rgb="FFF4C7C3"/>
        <bgColor rgb="FFFCE8B2"/>
      </patternFill>
    </fill>
    <fill>
      <patternFill patternType="solid">
        <fgColor rgb="FFFCE8B2"/>
        <bgColor rgb="FFFFFFCC"/>
      </patternFill>
    </fill>
    <fill>
      <patternFill patternType="solid">
        <fgColor rgb="FFC6E0B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E8B2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4374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4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35.05" hidden="false" customHeight="false" outlineLevel="0" collapsed="false">
      <c r="A4" s="3" t="s">
        <v>9</v>
      </c>
      <c r="B4" s="4" t="s">
        <v>10</v>
      </c>
      <c r="C4" s="4" t="s">
        <v>11</v>
      </c>
      <c r="D4" s="3" t="n">
        <v>5</v>
      </c>
      <c r="E4" s="3" t="n">
        <v>4</v>
      </c>
      <c r="F4" s="3" t="n">
        <f aca="false">D4*E4</f>
        <v>20</v>
      </c>
      <c r="G4" s="5" t="str">
        <f aca="false">IF(F4&gt;=15,"High",IF(F4&gt;=8,"Medium","Low"))</f>
        <v>High</v>
      </c>
      <c r="H4" s="4" t="s">
        <v>12</v>
      </c>
    </row>
    <row r="5" customFormat="false" ht="23.85" hidden="false" customHeight="false" outlineLevel="0" collapsed="false">
      <c r="A5" s="3" t="s">
        <v>13</v>
      </c>
      <c r="B5" s="4" t="s">
        <v>14</v>
      </c>
      <c r="C5" s="4" t="s">
        <v>11</v>
      </c>
      <c r="D5" s="3" t="n">
        <v>4</v>
      </c>
      <c r="E5" s="3" t="n">
        <v>5</v>
      </c>
      <c r="F5" s="3" t="n">
        <f aca="false">D5*E5</f>
        <v>20</v>
      </c>
      <c r="G5" s="5" t="str">
        <f aca="false">IF(F5&gt;=15,"High",IF(F5&gt;=8,"Medium","Low"))</f>
        <v>High</v>
      </c>
      <c r="H5" s="4" t="s">
        <v>15</v>
      </c>
    </row>
    <row r="6" customFormat="false" ht="23.85" hidden="false" customHeight="false" outlineLevel="0" collapsed="false">
      <c r="A6" s="3" t="s">
        <v>16</v>
      </c>
      <c r="B6" s="4" t="s">
        <v>17</v>
      </c>
      <c r="C6" s="4" t="s">
        <v>18</v>
      </c>
      <c r="D6" s="3" t="n">
        <v>3</v>
      </c>
      <c r="E6" s="3" t="n">
        <v>4</v>
      </c>
      <c r="F6" s="3" t="n">
        <f aca="false">D6*E6</f>
        <v>12</v>
      </c>
      <c r="G6" s="6" t="str">
        <f aca="false">IF(F6&gt;=15,"High",IF(F6&gt;=8,"Medium","Low"))</f>
        <v>Medium</v>
      </c>
      <c r="H6" s="4" t="s">
        <v>19</v>
      </c>
    </row>
    <row r="7" customFormat="false" ht="23.85" hidden="false" customHeight="false" outlineLevel="0" collapsed="false">
      <c r="A7" s="3" t="s">
        <v>20</v>
      </c>
      <c r="B7" s="4" t="s">
        <v>21</v>
      </c>
      <c r="C7" s="4" t="s">
        <v>11</v>
      </c>
      <c r="D7" s="3" t="n">
        <v>5</v>
      </c>
      <c r="E7" s="3" t="n">
        <v>3</v>
      </c>
      <c r="F7" s="3" t="n">
        <f aca="false">D7*E7</f>
        <v>15</v>
      </c>
      <c r="G7" s="5" t="str">
        <f aca="false">IF(F7&gt;=15,"High",IF(F7&gt;=8,"Medium","Low"))</f>
        <v>High</v>
      </c>
      <c r="H7" s="4" t="s">
        <v>22</v>
      </c>
    </row>
    <row r="8" customFormat="false" ht="23.85" hidden="false" customHeight="false" outlineLevel="0" collapsed="false">
      <c r="A8" s="3" t="s">
        <v>23</v>
      </c>
      <c r="B8" s="4" t="s">
        <v>24</v>
      </c>
      <c r="C8" s="4" t="s">
        <v>25</v>
      </c>
      <c r="D8" s="3" t="n">
        <v>4</v>
      </c>
      <c r="E8" s="3" t="n">
        <v>4</v>
      </c>
      <c r="F8" s="3" t="n">
        <f aca="false">D8*E8</f>
        <v>16</v>
      </c>
      <c r="G8" s="5" t="str">
        <f aca="false">IF(F8&gt;=15,"High",IF(F8&gt;=8,"Medium","Low"))</f>
        <v>High</v>
      </c>
      <c r="H8" s="4" t="s">
        <v>26</v>
      </c>
    </row>
    <row r="9" customFormat="false" ht="23.85" hidden="false" customHeight="false" outlineLevel="0" collapsed="false">
      <c r="A9" s="3" t="s">
        <v>27</v>
      </c>
      <c r="B9" s="4" t="s">
        <v>28</v>
      </c>
      <c r="C9" s="4" t="s">
        <v>11</v>
      </c>
      <c r="D9" s="3" t="n">
        <v>3</v>
      </c>
      <c r="E9" s="3" t="n">
        <v>3</v>
      </c>
      <c r="F9" s="3" t="n">
        <f aca="false">D9*E9</f>
        <v>9</v>
      </c>
      <c r="G9" s="6" t="str">
        <f aca="false">IF(F9&gt;=15,"High",IF(F9&gt;=8,"Medium","Low"))</f>
        <v>Medium</v>
      </c>
      <c r="H9" s="4" t="s">
        <v>29</v>
      </c>
    </row>
    <row r="10" customFormat="false" ht="23.85" hidden="false" customHeight="false" outlineLevel="0" collapsed="false">
      <c r="A10" s="3" t="s">
        <v>30</v>
      </c>
      <c r="B10" s="4" t="s">
        <v>31</v>
      </c>
      <c r="C10" s="4" t="s">
        <v>32</v>
      </c>
      <c r="D10" s="3" t="n">
        <v>2</v>
      </c>
      <c r="E10" s="3" t="n">
        <v>5</v>
      </c>
      <c r="F10" s="3" t="n">
        <f aca="false">D10*E10</f>
        <v>10</v>
      </c>
      <c r="G10" s="6" t="str">
        <f aca="false">IF(F10&gt;=15,"High",IF(F10&gt;=8,"Medium","Low"))</f>
        <v>Medium</v>
      </c>
      <c r="H10" s="4" t="s">
        <v>33</v>
      </c>
    </row>
    <row r="11" customFormat="false" ht="23.85" hidden="false" customHeight="false" outlineLevel="0" collapsed="false">
      <c r="A11" s="3" t="s">
        <v>34</v>
      </c>
      <c r="B11" s="4" t="s">
        <v>35</v>
      </c>
      <c r="C11" s="4" t="s">
        <v>25</v>
      </c>
      <c r="D11" s="3" t="n">
        <v>3</v>
      </c>
      <c r="E11" s="3" t="n">
        <v>4</v>
      </c>
      <c r="F11" s="3" t="n">
        <f aca="false">D11*E11</f>
        <v>12</v>
      </c>
      <c r="G11" s="6" t="str">
        <f aca="false">IF(F11&gt;=15,"High",IF(F11&gt;=8,"Medium","Low"))</f>
        <v>Medium</v>
      </c>
      <c r="H11" s="4" t="s">
        <v>36</v>
      </c>
    </row>
    <row r="12" customFormat="false" ht="23.85" hidden="false" customHeight="false" outlineLevel="0" collapsed="false">
      <c r="A12" s="3" t="s">
        <v>37</v>
      </c>
      <c r="B12" s="4" t="s">
        <v>38</v>
      </c>
      <c r="C12" s="4" t="s">
        <v>39</v>
      </c>
      <c r="D12" s="3" t="n">
        <v>3</v>
      </c>
      <c r="E12" s="3" t="n">
        <v>4</v>
      </c>
      <c r="F12" s="3" t="n">
        <f aca="false">D12*E12</f>
        <v>12</v>
      </c>
      <c r="G12" s="6" t="str">
        <f aca="false">IF(F12&gt;=15,"High",IF(F12&gt;=8,"Medium","Low"))</f>
        <v>Medium</v>
      </c>
      <c r="H12" s="4" t="s">
        <v>40</v>
      </c>
    </row>
    <row r="13" customFormat="false" ht="23.85" hidden="false" customHeight="false" outlineLevel="0" collapsed="false">
      <c r="A13" s="3" t="s">
        <v>41</v>
      </c>
      <c r="B13" s="4" t="s">
        <v>42</v>
      </c>
      <c r="C13" s="4" t="s">
        <v>11</v>
      </c>
      <c r="D13" s="3" t="n">
        <v>2</v>
      </c>
      <c r="E13" s="3" t="n">
        <v>2</v>
      </c>
      <c r="F13" s="3" t="n">
        <f aca="false">D13*E13</f>
        <v>4</v>
      </c>
      <c r="G13" s="7" t="str">
        <f aca="false">IF(F13&gt;=15,"High",IF(F13&gt;=8,"Medium","Low"))</f>
        <v>Low</v>
      </c>
      <c r="H13" s="4" t="s">
        <v>43</v>
      </c>
    </row>
    <row r="15" customFormat="false" ht="15" hidden="false" customHeight="false" outlineLevel="0" collapsed="false">
      <c r="A15" s="8" t="s">
        <v>44</v>
      </c>
    </row>
    <row r="16" customFormat="false" ht="15" hidden="false" customHeight="false" outlineLevel="0" collapsed="false">
      <c r="A16" s="9" t="s">
        <v>45</v>
      </c>
    </row>
    <row r="17" customFormat="false" ht="15" hidden="false" customHeight="false" outlineLevel="0" collapsed="false">
      <c r="A17" s="10" t="s">
        <v>46</v>
      </c>
    </row>
    <row r="18" customFormat="false" ht="15" hidden="false" customHeight="false" outlineLevel="0" collapsed="false">
      <c r="A18" s="11" t="s">
        <v>47</v>
      </c>
    </row>
    <row r="20" customFormat="false" ht="15" hidden="false" customHeight="false" outlineLevel="0" collapsed="false">
      <c r="A20" s="12" t="s">
        <v>48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0"/>
  </cols>
  <sheetData>
    <row r="1" customFormat="false" ht="27.75" hidden="false" customHeight="true" outlineLevel="0" collapsed="false">
      <c r="A1" s="13" t="s">
        <v>49</v>
      </c>
      <c r="B1" s="13"/>
      <c r="C1" s="13"/>
      <c r="D1" s="13"/>
    </row>
    <row r="3" customFormat="false" ht="15" hidden="false" customHeight="false" outlineLevel="0" collapsed="false">
      <c r="A3" s="14" t="s">
        <v>7</v>
      </c>
      <c r="B3" s="14" t="s">
        <v>50</v>
      </c>
    </row>
    <row r="4" customFormat="false" ht="15" hidden="false" customHeight="false" outlineLevel="0" collapsed="false">
      <c r="A4" s="15" t="s">
        <v>51</v>
      </c>
      <c r="B4" s="16" t="n">
        <f aca="false">COUNTIF('Risk Matrix'!G4:G13,A4)</f>
        <v>4</v>
      </c>
    </row>
    <row r="5" customFormat="false" ht="15" hidden="false" customHeight="false" outlineLevel="0" collapsed="false">
      <c r="A5" s="17" t="s">
        <v>52</v>
      </c>
      <c r="B5" s="16" t="n">
        <f aca="false">COUNTIF('Risk Matrix'!G4:G13,A5)</f>
        <v>5</v>
      </c>
    </row>
    <row r="6" customFormat="false" ht="15" hidden="false" customHeight="false" outlineLevel="0" collapsed="false">
      <c r="A6" s="18" t="s">
        <v>53</v>
      </c>
      <c r="B6" s="16" t="n">
        <f aca="false">COUNTIF('Risk Matrix'!G4:G13,A6)</f>
        <v>1</v>
      </c>
    </row>
    <row r="7" customFormat="false" ht="15" hidden="false" customHeight="false" outlineLevel="0" collapsed="false">
      <c r="A7" s="19" t="s">
        <v>54</v>
      </c>
      <c r="B7" s="19" t="n">
        <f aca="false">SUM(B4:B6)</f>
        <v>10</v>
      </c>
    </row>
    <row r="9" customFormat="false" ht="15" hidden="false" customHeight="false" outlineLevel="0" collapsed="false">
      <c r="A9" s="12" t="s">
        <v>55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2026-08-03T18:45:51Z</dcterms:created>
  <dc:creator>openpyxl</dc:creator>
  <dc:description/>
  <dc:language>en-US</dc:language>
  <cp:lastModifiedBy/>
  <dcterms:modified xsi:type="dcterms:W3CDTF">2026-08-03T18:45:51Z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